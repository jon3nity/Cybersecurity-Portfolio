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Repo\CyberSecurity Portfolio\01-Networking-Fundamentals\IPv4-Addressing\"/>
    </mc:Choice>
  </mc:AlternateContent>
  <xr:revisionPtr revIDLastSave="0" documentId="8_{2FFAAD2C-7C6D-4FB3-A8D8-70DE9A26F1D0}" xr6:coauthVersionLast="47" xr6:coauthVersionMax="47" xr10:uidLastSave="{00000000-0000-0000-0000-000000000000}"/>
  <bookViews>
    <workbookView xWindow="11292" yWindow="1200" windowWidth="21408" windowHeight="15840" xr2:uid="{2F7B6429-9BE3-4A1C-8019-14702BC19CE8}"/>
  </bookViews>
  <sheets>
    <sheet name="Sheet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6" i="1"/>
  <c r="H15" i="1"/>
  <c r="H33" i="1"/>
</calcChain>
</file>

<file path=xl/sharedStrings.xml><?xml version="1.0" encoding="utf-8"?>
<sst xmlns="http://schemas.openxmlformats.org/spreadsheetml/2006/main" count="168" uniqueCount="123">
  <si>
    <t>Nodes and Switches Distribution</t>
  </si>
  <si>
    <t>Location</t>
  </si>
  <si>
    <t>Room #</t>
  </si>
  <si>
    <t># of Nodes for PCs</t>
  </si>
  <si>
    <t># of Nodes with Redundancy</t>
  </si>
  <si>
    <t># of Ports used for  Printers, APs, etc.</t>
  </si>
  <si>
    <t>Total # of Ports</t>
  </si>
  <si>
    <t># of 48 Ports Switches</t>
  </si>
  <si>
    <t>LEVEL1</t>
  </si>
  <si>
    <t> </t>
  </si>
  <si>
    <t>LEVEL2</t>
  </si>
  <si>
    <t>LEVEL3</t>
  </si>
  <si>
    <t>COLAB</t>
  </si>
  <si>
    <t>Level 1</t>
  </si>
  <si>
    <t>Level 2 &amp;3</t>
  </si>
  <si>
    <t>TOTAL</t>
  </si>
  <si>
    <t>Total Number of 48 Ports Switches Required</t>
  </si>
  <si>
    <t>Network: 172.16.0.0/20</t>
  </si>
  <si>
    <t>MAIN BUILDING</t>
  </si>
  <si>
    <t>#</t>
  </si>
  <si>
    <t>VLANs</t>
  </si>
  <si>
    <t>Department</t>
  </si>
  <si>
    <t>Description</t>
  </si>
  <si>
    <t>Total # of Nodes</t>
  </si>
  <si>
    <t>Max # of Nodes</t>
  </si>
  <si>
    <t>Subnet Mask</t>
  </si>
  <si>
    <t>Subnet Masks</t>
  </si>
  <si>
    <t>Subnet</t>
  </si>
  <si>
    <t>Usable IP Range</t>
  </si>
  <si>
    <t>VLAN 2</t>
  </si>
  <si>
    <t>Labs</t>
  </si>
  <si>
    <t>User nodes in Laborotaries</t>
  </si>
  <si>
    <t>/22</t>
  </si>
  <si>
    <t>255.255.252.0</t>
  </si>
  <si>
    <t>172.16.0.0/22</t>
  </si>
  <si>
    <t>172.16.0.1 - 172.16.3.254</t>
  </si>
  <si>
    <t>VLAN 3</t>
  </si>
  <si>
    <t>Students</t>
  </si>
  <si>
    <t>User nodes in Other classrooms</t>
  </si>
  <si>
    <t>172.16.4.0/22</t>
  </si>
  <si>
    <t>172.16.4.1 - 172.16.7.254</t>
  </si>
  <si>
    <t>VLAN 4</t>
  </si>
  <si>
    <t>Staff</t>
  </si>
  <si>
    <t>Staff user nodes in all rooms</t>
  </si>
  <si>
    <t>/24</t>
  </si>
  <si>
    <t>255.255.255.0</t>
  </si>
  <si>
    <t>172.16.8.0/24</t>
  </si>
  <si>
    <t>172.16.8.1 - 172.16.8.254</t>
  </si>
  <si>
    <t>VLAN 5</t>
  </si>
  <si>
    <t>Library</t>
  </si>
  <si>
    <t>User nodes in the Library</t>
  </si>
  <si>
    <t>172.16.9.0/24</t>
  </si>
  <si>
    <t>172.16.9.1 - 172.16.9.254</t>
  </si>
  <si>
    <t>VLAN 6</t>
  </si>
  <si>
    <t>Admin</t>
  </si>
  <si>
    <t>For University Administration and Governance user nodes</t>
  </si>
  <si>
    <t>/25</t>
  </si>
  <si>
    <t>255.255.255.128</t>
  </si>
  <si>
    <t>172.16.10.0/25</t>
  </si>
  <si>
    <t>172.16.10.1 - 172.16.10.126</t>
  </si>
  <si>
    <t>VLAN 7</t>
  </si>
  <si>
    <t>Finance</t>
  </si>
  <si>
    <t>For Finance user nodes</t>
  </si>
  <si>
    <t>/27</t>
  </si>
  <si>
    <t>255.255.255.224</t>
  </si>
  <si>
    <t>172.16.10.128/27</t>
  </si>
  <si>
    <t>172.16.10.129 - 172.16.10.158</t>
  </si>
  <si>
    <t>VLAN 8</t>
  </si>
  <si>
    <t>Wireless APs</t>
  </si>
  <si>
    <t>Same subnet is used to connect APs of both Main Building and CoLab</t>
  </si>
  <si>
    <t>250 (Main building 210 + CoLab 40)</t>
  </si>
  <si>
    <t>172.16.11.0/24</t>
  </si>
  <si>
    <t>172.16.11.1 - 172.16.11.254</t>
  </si>
  <si>
    <t>Subtotal</t>
  </si>
  <si>
    <t>COLAB BUILDING</t>
  </si>
  <si>
    <t>VLAN</t>
  </si>
  <si>
    <t>COLAB L1</t>
  </si>
  <si>
    <t>COLAB L2&amp;3</t>
  </si>
  <si>
    <t>Total Nodes</t>
  </si>
  <si>
    <t>VLAN 9</t>
  </si>
  <si>
    <t>172.16.12.0/24</t>
  </si>
  <si>
    <t>172.16.12.1 - 172.16.12.254</t>
  </si>
  <si>
    <t>172.16.13.0/24</t>
  </si>
  <si>
    <t>172.16.13.1 - 172.16.13.254</t>
  </si>
  <si>
    <t>Common VLANs for Both Buildings</t>
  </si>
  <si>
    <t>VLAN 10</t>
  </si>
  <si>
    <t>Guest Wi-Fi</t>
  </si>
  <si>
    <t>For visitors to connect</t>
  </si>
  <si>
    <t>/23</t>
  </si>
  <si>
    <t>255.255.254.0</t>
  </si>
  <si>
    <t>172.16.14.0/23</t>
  </si>
  <si>
    <t>172.16.14.1 - 172.16.15.254</t>
  </si>
  <si>
    <t>VLAN 11</t>
  </si>
  <si>
    <t>Printers</t>
  </si>
  <si>
    <t>For Printers</t>
  </si>
  <si>
    <t>172.16.10.160/27</t>
  </si>
  <si>
    <t>172.16.10.161 - 172.16.10.190</t>
  </si>
  <si>
    <t>Utilized the unallocated subnets from upper table</t>
  </si>
  <si>
    <t>VLAN 12</t>
  </si>
  <si>
    <t>Servers</t>
  </si>
  <si>
    <t>For Servers</t>
  </si>
  <si>
    <t>172.16.10.192/27</t>
  </si>
  <si>
    <t>172.16.10.193 - 172.16.10.222</t>
  </si>
  <si>
    <t>VLAN 99</t>
  </si>
  <si>
    <t>Management</t>
  </si>
  <si>
    <t>For network device management</t>
  </si>
  <si>
    <t>172.16.16.0/25</t>
  </si>
  <si>
    <t>172.16.16.1 - 172.16.16.126</t>
  </si>
  <si>
    <t>Edge-Router</t>
  </si>
  <si>
    <t>10.0.0.0/30</t>
  </si>
  <si>
    <t>WAN-facing CAMPUS Router</t>
  </si>
  <si>
    <t>/30</t>
  </si>
  <si>
    <t>255.255.255.252</t>
  </si>
  <si>
    <t>IDF1 = 1120</t>
  </si>
  <si>
    <t>IDF2 = 1125</t>
  </si>
  <si>
    <t>IDF3 = 1130</t>
  </si>
  <si>
    <t>MDF = 2225</t>
  </si>
  <si>
    <t>IDF1 = 2220</t>
  </si>
  <si>
    <t>IDF2 = 2230</t>
  </si>
  <si>
    <t>IDF3 = 2235</t>
  </si>
  <si>
    <t>IDF1 = 3320</t>
  </si>
  <si>
    <t>IDF2 = 3325</t>
  </si>
  <si>
    <t>IDF3 = 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</si>
</sst>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2"/>
      <color theme="1"/>
      <name val="Calibri"/>
      <family val="2"/>
      <scheme val="minor"/>
    </font>
    <font>
      <b/>
      <sz val="12"/>
      <color rgb="FF000000"/>
      <name val="Aptos Narrow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0" fontId="9" fillId="0" borderId="4" xfId="0" applyFont="1" applyBorder="1"/>
    <xf numFmtId="0" fontId="9" fillId="0" borderId="5" xfId="0" applyFont="1" applyBorder="1"/>
    <xf numFmtId="0" fontId="10" fillId="0" borderId="5" xfId="0" applyFont="1" applyBorder="1"/>
    <xf numFmtId="0" fontId="9" fillId="0" borderId="0" xfId="0" applyFont="1"/>
    <xf numFmtId="0" fontId="11" fillId="0" borderId="0" xfId="0" applyFont="1"/>
    <xf numFmtId="0" fontId="12" fillId="4" borderId="9" xfId="0" applyFont="1" applyFill="1" applyBorder="1"/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3" fontId="1" fillId="5" borderId="17" xfId="0" applyNumberFormat="1" applyFont="1" applyFill="1" applyBorder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7" borderId="4" xfId="0" applyFont="1" applyFill="1" applyBorder="1"/>
    <xf numFmtId="0" fontId="8" fillId="7" borderId="5" xfId="0" applyFont="1" applyFill="1" applyBorder="1"/>
    <xf numFmtId="0" fontId="1" fillId="5" borderId="1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 wrapText="1"/>
    </xf>
    <xf numFmtId="0" fontId="0" fillId="5" borderId="10" xfId="0" applyFill="1" applyBorder="1"/>
    <xf numFmtId="0" fontId="1" fillId="5" borderId="16" xfId="0" applyFont="1" applyFill="1" applyBorder="1" applyAlignment="1">
      <alignment horizontal="center" vertical="center"/>
    </xf>
    <xf numFmtId="0" fontId="0" fillId="5" borderId="17" xfId="0" applyFill="1" applyBorder="1" applyAlignment="1">
      <alignment vertical="center" wrapText="1"/>
    </xf>
    <xf numFmtId="0" fontId="0" fillId="5" borderId="17" xfId="0" applyFill="1" applyBorder="1"/>
    <xf numFmtId="0" fontId="1" fillId="5" borderId="17" xfId="0" applyFont="1" applyFill="1" applyBorder="1" applyAlignment="1">
      <alignment vertical="center" wrapText="1"/>
    </xf>
    <xf numFmtId="0" fontId="7" fillId="5" borderId="14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 wrapText="1"/>
    </xf>
    <xf numFmtId="0" fontId="6" fillId="5" borderId="0" xfId="0" applyFont="1" applyFill="1"/>
    <xf numFmtId="0" fontId="1" fillId="5" borderId="10" xfId="0" applyFont="1" applyFill="1" applyBorder="1"/>
    <xf numFmtId="0" fontId="0" fillId="5" borderId="10" xfId="0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17" xfId="0" applyFont="1" applyFill="1" applyBorder="1"/>
    <xf numFmtId="3" fontId="0" fillId="5" borderId="17" xfId="0" applyNumberFormat="1" applyFill="1" applyBorder="1" applyAlignment="1">
      <alignment vertical="center" wrapText="1"/>
    </xf>
    <xf numFmtId="0" fontId="7" fillId="5" borderId="1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 wrapText="1"/>
    </xf>
    <xf numFmtId="0" fontId="0" fillId="5" borderId="10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6" fillId="5" borderId="17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27" xfId="0" applyFill="1" applyBorder="1"/>
    <xf numFmtId="0" fontId="0" fillId="8" borderId="24" xfId="0" applyFill="1" applyBorder="1" applyAlignment="1">
      <alignment horizontal="center" wrapText="1"/>
    </xf>
    <xf numFmtId="0" fontId="15" fillId="6" borderId="33" xfId="0" applyFont="1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10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left" vertical="center"/>
    </xf>
    <xf numFmtId="0" fontId="13" fillId="5" borderId="31" xfId="0" applyFont="1" applyFill="1" applyBorder="1" applyAlignment="1">
      <alignment horizontal="left" vertical="center"/>
    </xf>
    <xf numFmtId="0" fontId="13" fillId="5" borderId="32" xfId="0" applyFont="1" applyFill="1" applyBorder="1" applyAlignment="1">
      <alignment horizontal="left" vertical="center"/>
    </xf>
    <xf numFmtId="0" fontId="13" fillId="5" borderId="10" xfId="0" applyFont="1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5" borderId="0" xfId="0" applyFill="1" applyBorder="1" applyAlignment="1">
      <alignment horizontal="center"/>
    </xf>
    <xf numFmtId="0" fontId="0" fillId="5" borderId="0" xfId="0" applyFill="1" applyBorder="1"/>
    <xf numFmtId="0" fontId="9" fillId="0" borderId="26" xfId="0" applyFont="1" applyBorder="1" applyAlignment="1"/>
    <xf numFmtId="0" fontId="9" fillId="0" borderId="1" xfId="0" applyFont="1" applyBorder="1" applyAlignment="1"/>
    <xf numFmtId="0" fontId="9" fillId="0" borderId="3" xfId="0" applyFont="1" applyBorder="1" applyAlignment="1"/>
    <xf numFmtId="0" fontId="8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B37E-1D62-4D7A-A6A8-555CE6EA9643}">
  <dimension ref="A1:Q48"/>
  <sheetViews>
    <sheetView tabSelected="1" workbookViewId="0">
      <selection activeCell="A34" sqref="A34:XFD34"/>
    </sheetView>
  </sheetViews>
  <sheetFormatPr defaultRowHeight="14.4"/>
  <cols>
    <col min="1" max="1" width="6.109375" style="17" customWidth="1"/>
    <col min="3" max="3" width="20.33203125" customWidth="1"/>
    <col min="4" max="4" width="32.44140625" customWidth="1"/>
    <col min="6" max="6" width="11.44140625" customWidth="1"/>
    <col min="8" max="8" width="13.33203125" customWidth="1"/>
    <col min="9" max="9" width="9" customWidth="1"/>
    <col min="11" max="12" width="16.88671875" customWidth="1"/>
    <col min="16" max="16" width="24" customWidth="1"/>
  </cols>
  <sheetData>
    <row r="1" spans="3:9" ht="19.5" customHeight="1">
      <c r="C1" s="57" t="s">
        <v>0</v>
      </c>
      <c r="D1" s="58"/>
      <c r="E1" s="58"/>
      <c r="F1" s="58"/>
      <c r="G1" s="58"/>
      <c r="H1" s="58"/>
      <c r="I1" s="58"/>
    </row>
    <row r="2" spans="3:9" ht="57.6"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1" t="s">
        <v>7</v>
      </c>
    </row>
    <row r="3" spans="3:9">
      <c r="C3" s="3" t="s">
        <v>8</v>
      </c>
      <c r="D3" s="4" t="s">
        <v>113</v>
      </c>
      <c r="E3" s="4">
        <v>106</v>
      </c>
      <c r="F3" s="4">
        <v>159</v>
      </c>
      <c r="G3" s="4">
        <v>53</v>
      </c>
      <c r="H3" s="4">
        <v>212</v>
      </c>
      <c r="I3" s="4">
        <v>5</v>
      </c>
    </row>
    <row r="4" spans="3:9">
      <c r="C4" s="3" t="s">
        <v>9</v>
      </c>
      <c r="D4" s="4" t="s">
        <v>114</v>
      </c>
      <c r="E4" s="4">
        <v>37</v>
      </c>
      <c r="F4" s="4">
        <v>56</v>
      </c>
      <c r="G4" s="4">
        <v>18</v>
      </c>
      <c r="H4" s="4">
        <v>74</v>
      </c>
      <c r="I4" s="4">
        <v>2</v>
      </c>
    </row>
    <row r="5" spans="3:9">
      <c r="C5" s="3" t="s">
        <v>9</v>
      </c>
      <c r="D5" s="4" t="s">
        <v>115</v>
      </c>
      <c r="E5" s="4">
        <v>45</v>
      </c>
      <c r="F5" s="4">
        <v>67</v>
      </c>
      <c r="G5" s="4">
        <v>23</v>
      </c>
      <c r="H5" s="4">
        <v>90</v>
      </c>
      <c r="I5" s="4">
        <v>2</v>
      </c>
    </row>
    <row r="6" spans="3:9">
      <c r="C6" s="88" t="s">
        <v>9</v>
      </c>
      <c r="D6" s="89"/>
      <c r="E6" s="89"/>
      <c r="F6" s="89"/>
      <c r="G6" s="89"/>
      <c r="H6" s="91">
        <f>SUM(H3:H5)</f>
        <v>376</v>
      </c>
      <c r="I6" s="90"/>
    </row>
    <row r="7" spans="3:9">
      <c r="C7" s="3" t="s">
        <v>10</v>
      </c>
      <c r="D7" s="5" t="s">
        <v>116</v>
      </c>
      <c r="E7" s="4"/>
      <c r="F7" s="4"/>
      <c r="G7" s="4"/>
      <c r="H7" s="4"/>
      <c r="I7" s="4"/>
    </row>
    <row r="8" spans="3:9">
      <c r="C8" s="3" t="s">
        <v>9</v>
      </c>
      <c r="D8" s="4" t="s">
        <v>117</v>
      </c>
      <c r="E8" s="4">
        <v>349</v>
      </c>
      <c r="F8" s="4">
        <v>523</v>
      </c>
      <c r="G8" s="4">
        <v>175</v>
      </c>
      <c r="H8" s="4">
        <v>698</v>
      </c>
      <c r="I8" s="4">
        <v>15</v>
      </c>
    </row>
    <row r="9" spans="3:9">
      <c r="C9" s="3" t="s">
        <v>9</v>
      </c>
      <c r="D9" s="4" t="s">
        <v>118</v>
      </c>
      <c r="E9" s="4">
        <v>398</v>
      </c>
      <c r="F9" s="4">
        <v>597</v>
      </c>
      <c r="G9" s="4">
        <v>199</v>
      </c>
      <c r="H9" s="4">
        <v>796</v>
      </c>
      <c r="I9" s="4">
        <v>17</v>
      </c>
    </row>
    <row r="10" spans="3:9">
      <c r="C10" s="3" t="s">
        <v>9</v>
      </c>
      <c r="D10" s="4" t="s">
        <v>119</v>
      </c>
      <c r="E10" s="4">
        <v>391</v>
      </c>
      <c r="F10" s="4">
        <v>586</v>
      </c>
      <c r="G10" s="4">
        <v>195</v>
      </c>
      <c r="H10" s="4">
        <v>781</v>
      </c>
      <c r="I10" s="4">
        <v>17</v>
      </c>
    </row>
    <row r="11" spans="3:9">
      <c r="C11" s="88" t="s">
        <v>9</v>
      </c>
      <c r="D11" s="89"/>
      <c r="E11" s="89"/>
      <c r="F11" s="89"/>
      <c r="G11" s="89"/>
      <c r="H11" s="91">
        <f>SUM(H7:H10)</f>
        <v>2275</v>
      </c>
      <c r="I11" s="90"/>
    </row>
    <row r="12" spans="3:9">
      <c r="C12" s="3" t="s">
        <v>11</v>
      </c>
      <c r="D12" s="4" t="s">
        <v>120</v>
      </c>
      <c r="E12" s="4">
        <v>81</v>
      </c>
      <c r="F12" s="4">
        <v>121</v>
      </c>
      <c r="G12" s="4">
        <v>41</v>
      </c>
      <c r="H12" s="4">
        <v>162</v>
      </c>
      <c r="I12" s="4">
        <v>4</v>
      </c>
    </row>
    <row r="13" spans="3:9">
      <c r="C13" s="3" t="s">
        <v>9</v>
      </c>
      <c r="D13" s="4" t="s">
        <v>121</v>
      </c>
      <c r="E13" s="4">
        <v>77</v>
      </c>
      <c r="F13" s="4">
        <v>116</v>
      </c>
      <c r="G13" s="4">
        <v>38</v>
      </c>
      <c r="H13" s="4">
        <v>154</v>
      </c>
      <c r="I13" s="4">
        <v>4</v>
      </c>
    </row>
    <row r="14" spans="3:9">
      <c r="C14" s="3" t="s">
        <v>9</v>
      </c>
      <c r="D14" s="4" t="s">
        <v>122</v>
      </c>
      <c r="E14" s="4">
        <v>88</v>
      </c>
      <c r="F14" s="4">
        <v>132</v>
      </c>
      <c r="G14" s="4">
        <v>44</v>
      </c>
      <c r="H14" s="4">
        <v>176</v>
      </c>
      <c r="I14" s="4">
        <v>4</v>
      </c>
    </row>
    <row r="15" spans="3:9">
      <c r="C15" s="88" t="s">
        <v>9</v>
      </c>
      <c r="D15" s="89"/>
      <c r="E15" s="89"/>
      <c r="F15" s="89"/>
      <c r="G15" s="89"/>
      <c r="H15" s="91">
        <f>SUM(H12:H14)</f>
        <v>492</v>
      </c>
      <c r="I15" s="90"/>
    </row>
    <row r="16" spans="3:9">
      <c r="C16" s="3" t="s">
        <v>12</v>
      </c>
      <c r="D16" s="4" t="s">
        <v>13</v>
      </c>
      <c r="E16" s="4">
        <v>60</v>
      </c>
      <c r="F16" s="4">
        <v>65</v>
      </c>
      <c r="G16" s="4">
        <v>25</v>
      </c>
      <c r="H16" s="4">
        <v>90</v>
      </c>
      <c r="I16" s="4">
        <v>2</v>
      </c>
    </row>
    <row r="17" spans="1:17">
      <c r="C17" s="3" t="s">
        <v>9</v>
      </c>
      <c r="D17" s="4" t="s">
        <v>14</v>
      </c>
      <c r="E17" s="4">
        <v>60</v>
      </c>
      <c r="F17" s="4">
        <v>65</v>
      </c>
      <c r="G17" s="4">
        <v>25</v>
      </c>
      <c r="H17" s="4">
        <v>90</v>
      </c>
      <c r="I17" s="4">
        <v>2</v>
      </c>
    </row>
    <row r="18" spans="1:17">
      <c r="C18" s="22" t="s">
        <v>15</v>
      </c>
      <c r="D18" s="23" t="s">
        <v>9</v>
      </c>
      <c r="E18" s="23" t="s">
        <v>9</v>
      </c>
      <c r="F18" s="23">
        <v>2488</v>
      </c>
      <c r="G18" s="23" t="s">
        <v>9</v>
      </c>
      <c r="H18" s="23">
        <v>3324</v>
      </c>
      <c r="I18" s="23">
        <v>73</v>
      </c>
    </row>
    <row r="19" spans="1:17">
      <c r="C19" s="6"/>
      <c r="D19" s="6"/>
      <c r="E19" s="6"/>
      <c r="F19" s="6"/>
      <c r="G19" s="6"/>
      <c r="H19" s="6"/>
      <c r="I19" s="6"/>
    </row>
    <row r="20" spans="1:17" s="7" customFormat="1" ht="19.5" customHeight="1">
      <c r="A20" s="18"/>
      <c r="C20" s="64" t="s">
        <v>16</v>
      </c>
      <c r="D20" s="65"/>
      <c r="E20" s="65"/>
      <c r="F20" s="65"/>
      <c r="G20" s="65"/>
      <c r="H20" s="66"/>
      <c r="I20" s="8">
        <v>73</v>
      </c>
    </row>
    <row r="22" spans="1:17" ht="18">
      <c r="C22" s="74" t="s">
        <v>17</v>
      </c>
      <c r="D22" s="75"/>
      <c r="E22" s="75"/>
      <c r="F22" s="75"/>
      <c r="G22" s="75"/>
      <c r="H22" s="75"/>
      <c r="I22" s="76"/>
    </row>
    <row r="24" spans="1:17" ht="18">
      <c r="A24" s="71" t="s">
        <v>18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</row>
    <row r="25" spans="1:17" ht="28.8">
      <c r="A25" s="11" t="s">
        <v>19</v>
      </c>
      <c r="B25" s="9" t="s">
        <v>20</v>
      </c>
      <c r="C25" s="10" t="s">
        <v>21</v>
      </c>
      <c r="D25" s="10" t="s">
        <v>22</v>
      </c>
      <c r="E25" s="10" t="s">
        <v>8</v>
      </c>
      <c r="F25" s="10" t="s">
        <v>10</v>
      </c>
      <c r="G25" s="10" t="s">
        <v>11</v>
      </c>
      <c r="H25" s="10" t="s">
        <v>23</v>
      </c>
      <c r="I25" s="10" t="s">
        <v>24</v>
      </c>
      <c r="J25" s="10" t="s">
        <v>25</v>
      </c>
      <c r="K25" s="10" t="s">
        <v>26</v>
      </c>
      <c r="L25" s="10" t="s">
        <v>27</v>
      </c>
      <c r="M25" s="79" t="s">
        <v>28</v>
      </c>
      <c r="N25" s="79"/>
      <c r="O25" s="80"/>
    </row>
    <row r="26" spans="1:17" s="13" customFormat="1">
      <c r="A26" s="24">
        <v>1</v>
      </c>
      <c r="B26" s="35" t="s">
        <v>29</v>
      </c>
      <c r="C26" s="36" t="s">
        <v>30</v>
      </c>
      <c r="D26" s="36" t="s">
        <v>31</v>
      </c>
      <c r="E26" s="36">
        <v>150</v>
      </c>
      <c r="F26" s="36">
        <v>550</v>
      </c>
      <c r="G26" s="36">
        <v>150</v>
      </c>
      <c r="H26" s="36">
        <v>850</v>
      </c>
      <c r="I26" s="47">
        <v>1022</v>
      </c>
      <c r="J26" s="45" t="s">
        <v>32</v>
      </c>
      <c r="K26" s="51" t="s">
        <v>33</v>
      </c>
      <c r="L26" s="51" t="s">
        <v>34</v>
      </c>
      <c r="M26" s="62" t="s">
        <v>35</v>
      </c>
      <c r="N26" s="62"/>
      <c r="O26" s="63"/>
    </row>
    <row r="27" spans="1:17" s="13" customFormat="1">
      <c r="A27" s="24">
        <v>2</v>
      </c>
      <c r="B27" s="35" t="s">
        <v>36</v>
      </c>
      <c r="C27" s="36" t="s">
        <v>37</v>
      </c>
      <c r="D27" s="36" t="s">
        <v>38</v>
      </c>
      <c r="E27" s="36">
        <v>108</v>
      </c>
      <c r="F27" s="36">
        <v>700</v>
      </c>
      <c r="G27" s="36">
        <v>180</v>
      </c>
      <c r="H27" s="36">
        <v>988</v>
      </c>
      <c r="I27" s="47">
        <v>1022</v>
      </c>
      <c r="J27" s="45" t="s">
        <v>32</v>
      </c>
      <c r="K27" s="51" t="s">
        <v>33</v>
      </c>
      <c r="L27" s="51" t="s">
        <v>39</v>
      </c>
      <c r="M27" s="62" t="s">
        <v>40</v>
      </c>
      <c r="N27" s="62"/>
      <c r="O27" s="63"/>
    </row>
    <row r="28" spans="1:17" s="13" customFormat="1">
      <c r="A28" s="24">
        <v>3</v>
      </c>
      <c r="B28" s="35" t="s">
        <v>41</v>
      </c>
      <c r="C28" s="36" t="s">
        <v>42</v>
      </c>
      <c r="D28" s="36" t="s">
        <v>43</v>
      </c>
      <c r="E28" s="36">
        <v>50</v>
      </c>
      <c r="F28" s="36">
        <v>120</v>
      </c>
      <c r="G28" s="36">
        <v>30</v>
      </c>
      <c r="H28" s="36">
        <v>200</v>
      </c>
      <c r="I28" s="47">
        <v>254</v>
      </c>
      <c r="J28" s="45" t="s">
        <v>44</v>
      </c>
      <c r="K28" s="51" t="s">
        <v>45</v>
      </c>
      <c r="L28" s="51" t="s">
        <v>46</v>
      </c>
      <c r="M28" s="62" t="s">
        <v>47</v>
      </c>
      <c r="N28" s="62"/>
      <c r="O28" s="63"/>
    </row>
    <row r="29" spans="1:17" s="13" customFormat="1">
      <c r="A29" s="24">
        <v>4</v>
      </c>
      <c r="B29" s="35" t="s">
        <v>48</v>
      </c>
      <c r="C29" s="36" t="s">
        <v>49</v>
      </c>
      <c r="D29" s="36" t="s">
        <v>50</v>
      </c>
      <c r="E29" s="36">
        <v>40</v>
      </c>
      <c r="F29" s="36">
        <v>160</v>
      </c>
      <c r="G29" s="36"/>
      <c r="H29" s="36">
        <v>200</v>
      </c>
      <c r="I29" s="47">
        <v>254</v>
      </c>
      <c r="J29" s="45" t="s">
        <v>44</v>
      </c>
      <c r="K29" s="51" t="s">
        <v>45</v>
      </c>
      <c r="L29" s="51" t="s">
        <v>51</v>
      </c>
      <c r="M29" s="62" t="s">
        <v>52</v>
      </c>
      <c r="N29" s="62"/>
      <c r="O29" s="63"/>
    </row>
    <row r="30" spans="1:17" s="13" customFormat="1" ht="28.8">
      <c r="A30" s="24">
        <v>5</v>
      </c>
      <c r="B30" s="37" t="s">
        <v>53</v>
      </c>
      <c r="C30" s="36" t="s">
        <v>54</v>
      </c>
      <c r="D30" s="36" t="s">
        <v>55</v>
      </c>
      <c r="E30" s="36"/>
      <c r="F30" s="36"/>
      <c r="G30" s="36"/>
      <c r="H30" s="36">
        <v>100</v>
      </c>
      <c r="I30" s="47">
        <v>126</v>
      </c>
      <c r="J30" s="45" t="s">
        <v>56</v>
      </c>
      <c r="K30" s="51" t="s">
        <v>57</v>
      </c>
      <c r="L30" s="51" t="s">
        <v>58</v>
      </c>
      <c r="M30" s="62" t="s">
        <v>59</v>
      </c>
      <c r="N30" s="62"/>
      <c r="O30" s="63"/>
    </row>
    <row r="31" spans="1:17" s="13" customFormat="1">
      <c r="A31" s="24">
        <v>6</v>
      </c>
      <c r="B31" s="35" t="s">
        <v>60</v>
      </c>
      <c r="C31" s="36" t="s">
        <v>61</v>
      </c>
      <c r="D31" s="36" t="s">
        <v>62</v>
      </c>
      <c r="E31" s="36"/>
      <c r="F31" s="36"/>
      <c r="G31" s="36"/>
      <c r="H31" s="36">
        <v>20</v>
      </c>
      <c r="I31" s="47">
        <v>30</v>
      </c>
      <c r="J31" s="45" t="s">
        <v>63</v>
      </c>
      <c r="K31" s="51" t="s">
        <v>64</v>
      </c>
      <c r="L31" s="51" t="s">
        <v>65</v>
      </c>
      <c r="M31" s="84" t="s">
        <v>66</v>
      </c>
      <c r="N31" s="62"/>
      <c r="O31" s="63"/>
    </row>
    <row r="32" spans="1:17" s="13" customFormat="1" ht="43.2">
      <c r="A32" s="31">
        <v>7</v>
      </c>
      <c r="B32" s="32" t="s">
        <v>67</v>
      </c>
      <c r="C32" s="33" t="s">
        <v>68</v>
      </c>
      <c r="D32" s="33" t="s">
        <v>69</v>
      </c>
      <c r="E32" s="33">
        <v>70</v>
      </c>
      <c r="F32" s="33">
        <v>100</v>
      </c>
      <c r="G32" s="33">
        <v>40</v>
      </c>
      <c r="H32" s="33" t="s">
        <v>70</v>
      </c>
      <c r="I32" s="48">
        <v>254</v>
      </c>
      <c r="J32" s="46" t="s">
        <v>44</v>
      </c>
      <c r="K32" s="52" t="s">
        <v>45</v>
      </c>
      <c r="L32" s="51" t="s">
        <v>71</v>
      </c>
      <c r="M32" s="62" t="s">
        <v>72</v>
      </c>
      <c r="N32" s="62"/>
      <c r="O32" s="63"/>
      <c r="P32" s="34"/>
      <c r="Q32" s="34"/>
    </row>
    <row r="33" spans="1:17" s="13" customFormat="1">
      <c r="A33" s="27"/>
      <c r="B33" s="38"/>
      <c r="C33" s="30" t="s">
        <v>73</v>
      </c>
      <c r="D33" s="30"/>
      <c r="E33" s="30"/>
      <c r="F33" s="12"/>
      <c r="G33" s="30"/>
      <c r="H33" s="39">
        <f>SUM(H26:H31)</f>
        <v>2358</v>
      </c>
      <c r="I33" s="29"/>
      <c r="J33" s="29"/>
      <c r="K33" s="29"/>
      <c r="L33" s="55"/>
      <c r="M33" s="59"/>
      <c r="N33" s="60"/>
      <c r="O33" s="61"/>
    </row>
    <row r="34" spans="1:17" s="67" customFormat="1" ht="33" customHeight="1"/>
    <row r="35" spans="1:17" ht="19.5" customHeight="1">
      <c r="A35" s="68" t="s">
        <v>74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0"/>
    </row>
    <row r="36" spans="1:17" s="13" customFormat="1" ht="28.8">
      <c r="A36" s="24" t="s">
        <v>19</v>
      </c>
      <c r="B36" s="25" t="s">
        <v>75</v>
      </c>
      <c r="C36" s="25" t="s">
        <v>21</v>
      </c>
      <c r="D36" s="25"/>
      <c r="E36" s="25" t="s">
        <v>76</v>
      </c>
      <c r="F36" s="25" t="s">
        <v>77</v>
      </c>
      <c r="G36" s="26"/>
      <c r="H36" s="25" t="s">
        <v>78</v>
      </c>
      <c r="I36" s="10" t="s">
        <v>24</v>
      </c>
      <c r="J36" s="10" t="s">
        <v>25</v>
      </c>
      <c r="K36" s="10" t="s">
        <v>26</v>
      </c>
      <c r="L36" s="10" t="s">
        <v>27</v>
      </c>
      <c r="M36" s="79" t="s">
        <v>28</v>
      </c>
      <c r="N36" s="79"/>
      <c r="O36" s="80"/>
    </row>
    <row r="37" spans="1:17" s="13" customFormat="1">
      <c r="A37" s="24">
        <v>8</v>
      </c>
      <c r="B37" s="37" t="s">
        <v>79</v>
      </c>
      <c r="C37" s="36" t="s">
        <v>12</v>
      </c>
      <c r="D37" s="36"/>
      <c r="E37" s="36">
        <v>65</v>
      </c>
      <c r="F37" s="36">
        <v>65</v>
      </c>
      <c r="G37" s="26"/>
      <c r="H37" s="36">
        <v>130</v>
      </c>
      <c r="I37" s="47">
        <v>254</v>
      </c>
      <c r="J37" s="45" t="s">
        <v>44</v>
      </c>
      <c r="K37" s="51" t="s">
        <v>45</v>
      </c>
      <c r="L37" s="51" t="s">
        <v>80</v>
      </c>
      <c r="M37" s="62" t="s">
        <v>81</v>
      </c>
      <c r="N37" s="62"/>
      <c r="O37" s="63"/>
    </row>
    <row r="38" spans="1:17" s="13" customFormat="1" ht="43.2">
      <c r="A38" s="40"/>
      <c r="B38" s="41" t="s">
        <v>67</v>
      </c>
      <c r="C38" s="42" t="s">
        <v>68</v>
      </c>
      <c r="D38" s="42" t="s">
        <v>69</v>
      </c>
      <c r="E38" s="42">
        <v>20</v>
      </c>
      <c r="F38" s="42">
        <v>20</v>
      </c>
      <c r="G38" s="42"/>
      <c r="H38" s="42" t="s">
        <v>70</v>
      </c>
      <c r="I38" s="49">
        <v>254</v>
      </c>
      <c r="J38" s="50" t="s">
        <v>44</v>
      </c>
      <c r="K38" s="53" t="s">
        <v>45</v>
      </c>
      <c r="L38" s="54" t="s">
        <v>82</v>
      </c>
      <c r="M38" s="77" t="s">
        <v>83</v>
      </c>
      <c r="N38" s="77"/>
      <c r="O38" s="78"/>
      <c r="P38" s="34"/>
      <c r="Q38" s="34"/>
    </row>
    <row r="39" spans="1:17" s="13" customFormat="1">
      <c r="A39" s="19"/>
      <c r="B39" s="14"/>
      <c r="C39" s="14"/>
      <c r="D39" s="14"/>
      <c r="E39" s="14"/>
      <c r="F39" s="14"/>
      <c r="H39" s="15"/>
      <c r="M39" s="16"/>
      <c r="N39" s="16"/>
      <c r="O39" s="16"/>
    </row>
    <row r="40" spans="1:17" s="13" customFormat="1">
      <c r="A40" s="19"/>
      <c r="B40" s="14"/>
      <c r="C40" s="14"/>
      <c r="D40" s="14"/>
      <c r="E40" s="14"/>
      <c r="F40" s="14"/>
      <c r="H40" s="15"/>
      <c r="M40" s="16"/>
      <c r="N40" s="16"/>
      <c r="O40" s="16"/>
    </row>
    <row r="41" spans="1:17" ht="18">
      <c r="A41" s="68" t="s">
        <v>84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70"/>
    </row>
    <row r="42" spans="1:17" s="13" customFormat="1">
      <c r="A42" s="24">
        <v>9</v>
      </c>
      <c r="B42" s="35" t="s">
        <v>85</v>
      </c>
      <c r="C42" s="36" t="s">
        <v>86</v>
      </c>
      <c r="D42" s="36" t="s">
        <v>87</v>
      </c>
      <c r="E42" s="36"/>
      <c r="F42" s="36"/>
      <c r="G42" s="36"/>
      <c r="H42" s="36">
        <v>500</v>
      </c>
      <c r="I42" s="26">
        <v>510</v>
      </c>
      <c r="J42" s="43" t="s">
        <v>88</v>
      </c>
      <c r="K42" s="51" t="s">
        <v>89</v>
      </c>
      <c r="L42" s="51" t="s">
        <v>90</v>
      </c>
      <c r="M42" s="62" t="s">
        <v>91</v>
      </c>
      <c r="N42" s="62"/>
      <c r="O42" s="63"/>
    </row>
    <row r="43" spans="1:17" s="13" customFormat="1">
      <c r="A43" s="24">
        <v>10</v>
      </c>
      <c r="B43" s="35" t="s">
        <v>92</v>
      </c>
      <c r="C43" s="36" t="s">
        <v>93</v>
      </c>
      <c r="D43" s="36" t="s">
        <v>94</v>
      </c>
      <c r="E43" s="36"/>
      <c r="F43" s="36"/>
      <c r="G43" s="36"/>
      <c r="H43" s="37"/>
      <c r="I43" s="26">
        <v>30</v>
      </c>
      <c r="J43" s="43" t="s">
        <v>63</v>
      </c>
      <c r="K43" s="51" t="s">
        <v>64</v>
      </c>
      <c r="L43" s="51" t="s">
        <v>95</v>
      </c>
      <c r="M43" s="84" t="s">
        <v>96</v>
      </c>
      <c r="N43" s="62"/>
      <c r="O43" s="63"/>
      <c r="P43" s="56" t="s">
        <v>97</v>
      </c>
    </row>
    <row r="44" spans="1:17" s="13" customFormat="1">
      <c r="A44" s="24">
        <v>11</v>
      </c>
      <c r="B44" s="35" t="s">
        <v>98</v>
      </c>
      <c r="C44" s="36" t="s">
        <v>99</v>
      </c>
      <c r="D44" s="36" t="s">
        <v>100</v>
      </c>
      <c r="E44" s="36"/>
      <c r="F44" s="36"/>
      <c r="G44" s="36"/>
      <c r="H44" s="37"/>
      <c r="I44" s="26">
        <v>30</v>
      </c>
      <c r="J44" s="43" t="s">
        <v>63</v>
      </c>
      <c r="K44" s="51" t="s">
        <v>64</v>
      </c>
      <c r="L44" s="51" t="s">
        <v>101</v>
      </c>
      <c r="M44" s="81" t="s">
        <v>102</v>
      </c>
      <c r="N44" s="82"/>
      <c r="O44" s="83"/>
      <c r="P44" s="56"/>
    </row>
    <row r="45" spans="1:17" s="13" customFormat="1">
      <c r="A45" s="27">
        <v>12</v>
      </c>
      <c r="B45" s="38" t="s">
        <v>103</v>
      </c>
      <c r="C45" s="28" t="s">
        <v>104</v>
      </c>
      <c r="D45" s="28" t="s">
        <v>105</v>
      </c>
      <c r="E45" s="28"/>
      <c r="F45" s="28"/>
      <c r="G45" s="28"/>
      <c r="H45" s="28">
        <v>80</v>
      </c>
      <c r="I45" s="29">
        <v>126</v>
      </c>
      <c r="J45" s="44" t="s">
        <v>56</v>
      </c>
      <c r="K45" s="54" t="s">
        <v>57</v>
      </c>
      <c r="L45" s="54" t="s">
        <v>106</v>
      </c>
      <c r="M45" s="77" t="s">
        <v>107</v>
      </c>
      <c r="N45" s="77"/>
      <c r="O45" s="78"/>
    </row>
    <row r="46" spans="1:17">
      <c r="C46" s="1"/>
      <c r="D46" s="1"/>
      <c r="E46" s="1"/>
      <c r="F46" s="1"/>
      <c r="G46" s="1"/>
      <c r="H46" s="1"/>
    </row>
    <row r="47" spans="1:17">
      <c r="C47" s="1" t="s">
        <v>108</v>
      </c>
      <c r="D47" s="1" t="s">
        <v>110</v>
      </c>
      <c r="E47" s="1"/>
      <c r="F47" s="1"/>
      <c r="G47" s="1"/>
      <c r="H47" s="1"/>
      <c r="I47" s="87">
        <v>2</v>
      </c>
      <c r="J47" s="86" t="s">
        <v>111</v>
      </c>
      <c r="K47" s="85" t="s">
        <v>112</v>
      </c>
      <c r="L47" s="85" t="s">
        <v>109</v>
      </c>
    </row>
    <row r="48" spans="1:17">
      <c r="B48" s="2"/>
    </row>
  </sheetData>
  <mergeCells count="24">
    <mergeCell ref="M45:O45"/>
    <mergeCell ref="M31:O31"/>
    <mergeCell ref="M25:O25"/>
    <mergeCell ref="M42:O42"/>
    <mergeCell ref="M44:O44"/>
    <mergeCell ref="M43:O43"/>
    <mergeCell ref="M26:O26"/>
    <mergeCell ref="M27:O27"/>
    <mergeCell ref="M28:O28"/>
    <mergeCell ref="M29:O29"/>
    <mergeCell ref="M30:O30"/>
    <mergeCell ref="P43:P44"/>
    <mergeCell ref="C1:I1"/>
    <mergeCell ref="M33:O33"/>
    <mergeCell ref="M32:O32"/>
    <mergeCell ref="C20:H20"/>
    <mergeCell ref="M37:O37"/>
    <mergeCell ref="A34:XFD34"/>
    <mergeCell ref="A35:O35"/>
    <mergeCell ref="A24:O24"/>
    <mergeCell ref="A41:O41"/>
    <mergeCell ref="C22:I22"/>
    <mergeCell ref="M38:O38"/>
    <mergeCell ref="M36:O36"/>
  </mergeCells>
  <pageMargins left="0.7" right="0.7" top="0.75" bottom="0.75" header="0.3" footer="0.3"/>
  <pageSetup orientation="portrait" verticalDpi="0" r:id="rId1"/>
</worksheet>
</file>

<file path=docMetadata/LabelInfo.xml><?xml version="1.0" encoding="utf-8"?>
<clbl:labelList xmlns:clbl="http://schemas.microsoft.com/office/2020/mipLabelMetadata">
  <clbl:label id="{47855545-00bb-4800-a65f-e79104ec0fc4}" enabled="0" method="" siteId="{47855545-00bb-4800-a65f-e79104ec0f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Chinedu Onyekachi - STUDENT</dc:creator>
  <cp:keywords/>
  <dc:description/>
  <cp:lastModifiedBy>Chinedu Onyekachi - STUDENT</cp:lastModifiedBy>
  <cp:revision/>
  <cp:lastPrinted>2026-03-13T23:48:21Z</cp:lastPrinted>
  <dcterms:created xsi:type="dcterms:W3CDTF">2025-11-29T11:58:11Z</dcterms:created>
  <dcterms:modified xsi:type="dcterms:W3CDTF">2026-03-13T23:50:23Z</dcterms:modified>
  <cp:category/>
  <cp:contentStatus/>
</cp:coreProperties>
</file>